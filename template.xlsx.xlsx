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4698C392-29E9-4004-A3D0-0484E2BF49D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立石さん20260331" sheetId="77" r:id="rId1"/>
  </sheets>
  <definedNames>
    <definedName name="_xlnm.Print_Area" localSheetId="0">立石さん20260331!$A$1:$P$42</definedName>
  </definedNames>
  <calcPr calcId="181029"/>
</workbook>
</file>

<file path=xl/calcChain.xml><?xml version="1.0" encoding="utf-8"?>
<calcChain xmlns="http://schemas.openxmlformats.org/spreadsheetml/2006/main">
  <c r="J18" i="77" l="1"/>
  <c r="K18" i="77"/>
  <c r="L18" i="77"/>
  <c r="N43" i="77"/>
  <c r="L42" i="77"/>
  <c r="Q41" i="77"/>
  <c r="L41" i="77"/>
  <c r="M37" i="77"/>
  <c r="H36" i="77"/>
  <c r="I36" i="77" s="1"/>
  <c r="J36" i="77" s="1"/>
  <c r="B36" i="77"/>
  <c r="C36" i="77" s="1"/>
  <c r="D36" i="77" s="1"/>
  <c r="L36" i="77" s="1"/>
  <c r="H35" i="77"/>
  <c r="I35" i="77" s="1"/>
  <c r="J35" i="77" s="1"/>
  <c r="B35" i="77"/>
  <c r="C35" i="77" s="1"/>
  <c r="D35" i="77" s="1"/>
  <c r="L35" i="77" s="1"/>
  <c r="L34" i="77"/>
  <c r="H34" i="77"/>
  <c r="I34" i="77" s="1"/>
  <c r="J34" i="77" s="1"/>
  <c r="B34" i="77"/>
  <c r="C34" i="77" s="1"/>
  <c r="D34" i="77" s="1"/>
  <c r="H33" i="77"/>
  <c r="I33" i="77" s="1"/>
  <c r="B33" i="77"/>
  <c r="C33" i="77" s="1"/>
  <c r="D33" i="77" s="1"/>
  <c r="L33" i="77" s="1"/>
  <c r="H32" i="77"/>
  <c r="I32" i="77" s="1"/>
  <c r="J32" i="77" s="1"/>
  <c r="B32" i="77"/>
  <c r="C32" i="77" s="1"/>
  <c r="D32" i="77" s="1"/>
  <c r="L31" i="77"/>
  <c r="H31" i="77"/>
  <c r="I31" i="77" s="1"/>
  <c r="J31" i="77" s="1"/>
  <c r="B31" i="77"/>
  <c r="C31" i="77" s="1"/>
  <c r="D31" i="77" s="1"/>
  <c r="H30" i="77"/>
  <c r="I30" i="77" s="1"/>
  <c r="J30" i="77" s="1"/>
  <c r="B30" i="77"/>
  <c r="C30" i="77" s="1"/>
  <c r="D30" i="77" s="1"/>
  <c r="L30" i="77" s="1"/>
  <c r="H29" i="77"/>
  <c r="I29" i="77" s="1"/>
  <c r="B29" i="77"/>
  <c r="C29" i="77" s="1"/>
  <c r="D29" i="77" s="1"/>
  <c r="L29" i="77" s="1"/>
  <c r="H28" i="77"/>
  <c r="I28" i="77" s="1"/>
  <c r="B28" i="77"/>
  <c r="C28" i="77" s="1"/>
  <c r="D28" i="77" s="1"/>
  <c r="L28" i="77" s="1"/>
  <c r="H27" i="77"/>
  <c r="I27" i="77" s="1"/>
  <c r="J27" i="77" s="1"/>
  <c r="B27" i="77"/>
  <c r="C27" i="77" s="1"/>
  <c r="D27" i="77" s="1"/>
  <c r="L27" i="77" s="1"/>
  <c r="H26" i="77"/>
  <c r="I26" i="77" s="1"/>
  <c r="J26" i="77" s="1"/>
  <c r="B26" i="77"/>
  <c r="C26" i="77" s="1"/>
  <c r="D26" i="77" s="1"/>
  <c r="L26" i="77" s="1"/>
  <c r="H25" i="77"/>
  <c r="I25" i="77" s="1"/>
  <c r="B25" i="77"/>
  <c r="C25" i="77" s="1"/>
  <c r="D25" i="77" s="1"/>
  <c r="H24" i="77"/>
  <c r="I24" i="77" s="1"/>
  <c r="B24" i="77"/>
  <c r="C24" i="77" s="1"/>
  <c r="D24" i="77" s="1"/>
  <c r="L24" i="77" s="1"/>
  <c r="H23" i="77"/>
  <c r="I23" i="77" s="1"/>
  <c r="J23" i="77" s="1"/>
  <c r="D23" i="77"/>
  <c r="L23" i="77" s="1"/>
  <c r="B23" i="77"/>
  <c r="C23" i="77" s="1"/>
  <c r="H22" i="77"/>
  <c r="I22" i="77" s="1"/>
  <c r="J22" i="77" s="1"/>
  <c r="B22" i="77"/>
  <c r="C22" i="77" s="1"/>
  <c r="D22" i="77" s="1"/>
  <c r="L22" i="77" s="1"/>
  <c r="H21" i="77"/>
  <c r="I21" i="77" s="1"/>
  <c r="J21" i="77" s="1"/>
  <c r="B21" i="77"/>
  <c r="C21" i="77" s="1"/>
  <c r="D21" i="77" s="1"/>
  <c r="L21" i="77" s="1"/>
  <c r="H20" i="77"/>
  <c r="I20" i="77" s="1"/>
  <c r="J20" i="77" s="1"/>
  <c r="B20" i="77"/>
  <c r="C20" i="77" s="1"/>
  <c r="D20" i="77" s="1"/>
  <c r="L20" i="77" s="1"/>
  <c r="H19" i="77"/>
  <c r="I19" i="77" s="1"/>
  <c r="J19" i="77" s="1"/>
  <c r="B19" i="77"/>
  <c r="C19" i="77" s="1"/>
  <c r="D19" i="77" s="1"/>
  <c r="L19" i="77" s="1"/>
  <c r="H18" i="77"/>
  <c r="I18" i="77" s="1"/>
  <c r="B18" i="77"/>
  <c r="C18" i="77" s="1"/>
  <c r="D18" i="77" s="1"/>
  <c r="H17" i="77"/>
  <c r="I17" i="77" s="1"/>
  <c r="B17" i="77"/>
  <c r="C17" i="77" s="1"/>
  <c r="D17" i="77" s="1"/>
  <c r="L17" i="77" s="1"/>
  <c r="H16" i="77"/>
  <c r="I16" i="77" s="1"/>
  <c r="B16" i="77"/>
  <c r="C16" i="77" s="1"/>
  <c r="D16" i="77" s="1"/>
  <c r="L16" i="77" s="1"/>
  <c r="H15" i="77"/>
  <c r="I15" i="77" s="1"/>
  <c r="J15" i="77" s="1"/>
  <c r="B15" i="77"/>
  <c r="C15" i="77" s="1"/>
  <c r="D15" i="77" s="1"/>
  <c r="L15" i="77" s="1"/>
  <c r="H14" i="77"/>
  <c r="I14" i="77" s="1"/>
  <c r="B14" i="77"/>
  <c r="C14" i="77" s="1"/>
  <c r="D14" i="77" s="1"/>
  <c r="L14" i="77" s="1"/>
  <c r="L13" i="77"/>
  <c r="H13" i="77"/>
  <c r="I13" i="77" s="1"/>
  <c r="J13" i="77" s="1"/>
  <c r="B13" i="77"/>
  <c r="C13" i="77" s="1"/>
  <c r="D13" i="77" s="1"/>
  <c r="H12" i="77"/>
  <c r="I12" i="77" s="1"/>
  <c r="J12" i="77" s="1"/>
  <c r="B12" i="77"/>
  <c r="C12" i="77" s="1"/>
  <c r="D12" i="77" s="1"/>
  <c r="L12" i="77" s="1"/>
  <c r="H11" i="77"/>
  <c r="I11" i="77" s="1"/>
  <c r="J11" i="77" s="1"/>
  <c r="B11" i="77"/>
  <c r="C11" i="77" s="1"/>
  <c r="D11" i="77" s="1"/>
  <c r="H10" i="77"/>
  <c r="I10" i="77" s="1"/>
  <c r="J10" i="77" s="1"/>
  <c r="B10" i="77"/>
  <c r="C10" i="77" s="1"/>
  <c r="D10" i="77" s="1"/>
  <c r="L10" i="77" s="1"/>
  <c r="H9" i="77"/>
  <c r="I9" i="77" s="1"/>
  <c r="B9" i="77"/>
  <c r="C9" i="77" s="1"/>
  <c r="D9" i="77" s="1"/>
  <c r="L9" i="77" s="1"/>
  <c r="H8" i="77"/>
  <c r="I8" i="77" s="1"/>
  <c r="B8" i="77"/>
  <c r="C8" i="77" s="1"/>
  <c r="D8" i="77" s="1"/>
  <c r="L8" i="77" s="1"/>
  <c r="H7" i="77"/>
  <c r="I7" i="77" s="1"/>
  <c r="J7" i="77" s="1"/>
  <c r="D7" i="77"/>
  <c r="L7" i="77" s="1"/>
  <c r="B7" i="77"/>
  <c r="C7" i="77" s="1"/>
  <c r="H6" i="77"/>
  <c r="I6" i="77" s="1"/>
  <c r="B6" i="77"/>
  <c r="C6" i="77" s="1"/>
  <c r="D6" i="77" s="1"/>
  <c r="L6" i="77" s="1"/>
  <c r="K30" i="77" l="1"/>
  <c r="K11" i="77"/>
  <c r="L11" i="77"/>
  <c r="K35" i="77"/>
  <c r="K26" i="77"/>
  <c r="K19" i="77"/>
  <c r="J28" i="77"/>
  <c r="K28" i="77"/>
  <c r="K21" i="77"/>
  <c r="K27" i="77"/>
  <c r="L32" i="77"/>
  <c r="J16" i="77"/>
  <c r="K16" i="77"/>
  <c r="J6" i="77"/>
  <c r="K6" i="77"/>
  <c r="J8" i="77"/>
  <c r="K8" i="77"/>
  <c r="J14" i="77"/>
  <c r="K14" i="77"/>
  <c r="J24" i="77"/>
  <c r="K24" i="77"/>
  <c r="J9" i="77"/>
  <c r="K9" i="77"/>
  <c r="K10" i="77"/>
  <c r="K13" i="77"/>
  <c r="K20" i="77"/>
  <c r="K22" i="77"/>
  <c r="K23" i="77"/>
  <c r="J17" i="77"/>
  <c r="K17" i="77"/>
  <c r="K12" i="77"/>
  <c r="K15" i="77"/>
  <c r="J29" i="77"/>
  <c r="K29" i="77"/>
  <c r="K31" i="77"/>
  <c r="J33" i="77"/>
  <c r="K33" i="77"/>
  <c r="K7" i="77"/>
  <c r="J25" i="77"/>
  <c r="L25" i="77" s="1"/>
  <c r="K25" i="77"/>
  <c r="K32" i="77"/>
  <c r="K36" i="77"/>
  <c r="K34" i="77"/>
  <c r="R41" i="77"/>
  <c r="J44" i="77" l="1"/>
  <c r="L44" i="77"/>
  <c r="E40" i="77"/>
  <c r="K44" i="77"/>
  <c r="E39" i="77"/>
  <c r="E38" i="77"/>
  <c r="Q38" i="77" l="1"/>
  <c r="L38" i="77"/>
  <c r="Q40" i="77"/>
  <c r="L43" i="77"/>
  <c r="L40" i="77"/>
  <c r="Q39" i="77"/>
  <c r="L39" i="77"/>
  <c r="R39" i="77" l="1"/>
  <c r="O39" i="77"/>
  <c r="O42" i="77" s="1"/>
  <c r="R38" i="77"/>
  <c r="R40" i="77"/>
</calcChain>
</file>

<file path=xl/sharedStrings.xml><?xml version="1.0" encoding="utf-8"?>
<sst xmlns="http://schemas.openxmlformats.org/spreadsheetml/2006/main" count="56" uniqueCount="41">
  <si>
    <t>日</t>
    <rPh sb="0" eb="1">
      <t>ヒ</t>
    </rPh>
    <phoneticPr fontId="2"/>
  </si>
  <si>
    <t>曜日</t>
    <rPh sb="0" eb="2">
      <t>ヨウビ</t>
    </rPh>
    <phoneticPr fontId="2"/>
  </si>
  <si>
    <t>出勤</t>
    <rPh sb="0" eb="2">
      <t>シュッキン</t>
    </rPh>
    <phoneticPr fontId="2"/>
  </si>
  <si>
    <t>退勤</t>
    <rPh sb="0" eb="2">
      <t>タイキン</t>
    </rPh>
    <phoneticPr fontId="2"/>
  </si>
  <si>
    <t>休憩</t>
    <rPh sb="0" eb="2">
      <t>キュウケイ</t>
    </rPh>
    <phoneticPr fontId="2"/>
  </si>
  <si>
    <t>令和</t>
    <rPh sb="0" eb="2">
      <t>レイワ</t>
    </rPh>
    <phoneticPr fontId="2"/>
  </si>
  <si>
    <t>年</t>
    <rPh sb="0" eb="1">
      <t>ネン</t>
    </rPh>
    <phoneticPr fontId="2"/>
  </si>
  <si>
    <t>月分スタッフ料金支払明細書</t>
    <rPh sb="0" eb="1">
      <t>ガツ</t>
    </rPh>
    <rPh sb="1" eb="2">
      <t>ブン</t>
    </rPh>
    <rPh sb="6" eb="13">
      <t>リョウキンシハライメイサイショ</t>
    </rPh>
    <phoneticPr fontId="2"/>
  </si>
  <si>
    <t>通勤</t>
    <rPh sb="0" eb="2">
      <t>ツウキン</t>
    </rPh>
    <phoneticPr fontId="2"/>
  </si>
  <si>
    <t>経路</t>
    <rPh sb="0" eb="2">
      <t>ケイロ</t>
    </rPh>
    <phoneticPr fontId="2"/>
  </si>
  <si>
    <t>費用</t>
    <rPh sb="0" eb="2">
      <t>ヒヨウ</t>
    </rPh>
    <phoneticPr fontId="2"/>
  </si>
  <si>
    <t>時間外</t>
    <rPh sb="0" eb="3">
      <t>ジカンガイ</t>
    </rPh>
    <phoneticPr fontId="2"/>
  </si>
  <si>
    <t>勤怠</t>
    <rPh sb="0" eb="2">
      <t>キンタイ</t>
    </rPh>
    <phoneticPr fontId="2"/>
  </si>
  <si>
    <t>摘要欄</t>
    <rPh sb="0" eb="3">
      <t>テキヨウラン</t>
    </rPh>
    <phoneticPr fontId="2"/>
  </si>
  <si>
    <t>法定休日○×</t>
    <rPh sb="0" eb="2">
      <t>ホウテイ</t>
    </rPh>
    <rPh sb="2" eb="4">
      <t>キュウジツ</t>
    </rPh>
    <phoneticPr fontId="2"/>
  </si>
  <si>
    <t>合計</t>
    <rPh sb="0" eb="2">
      <t>ゴウケイ</t>
    </rPh>
    <phoneticPr fontId="2"/>
  </si>
  <si>
    <t>時間外A</t>
    <rPh sb="0" eb="3">
      <t>ジカンガイ</t>
    </rPh>
    <phoneticPr fontId="2"/>
  </si>
  <si>
    <t>時間外B</t>
    <rPh sb="0" eb="3">
      <t>ジカンガイ</t>
    </rPh>
    <phoneticPr fontId="2"/>
  </si>
  <si>
    <t>時間外C</t>
    <rPh sb="0" eb="3">
      <t>ジカンガイ</t>
    </rPh>
    <phoneticPr fontId="2"/>
  </si>
  <si>
    <t>交通費</t>
    <rPh sb="0" eb="3">
      <t>コウツウヒ</t>
    </rPh>
    <phoneticPr fontId="2"/>
  </si>
  <si>
    <t>円</t>
    <rPh sb="0" eb="1">
      <t>エン</t>
    </rPh>
    <phoneticPr fontId="2"/>
  </si>
  <si>
    <t>＝</t>
    <phoneticPr fontId="2"/>
  </si>
  <si>
    <t>時間×</t>
    <rPh sb="0" eb="2">
      <t>ジカン</t>
    </rPh>
    <phoneticPr fontId="2"/>
  </si>
  <si>
    <t>時間計
(60進法)</t>
    <rPh sb="0" eb="3">
      <t>ジカンケイ</t>
    </rPh>
    <rPh sb="7" eb="9">
      <t>シンホウ</t>
    </rPh>
    <phoneticPr fontId="2"/>
  </si>
  <si>
    <t>https://faq.freeway-japan.com/faq/show/1086?category_id=1&amp;site_domain=default</t>
    <phoneticPr fontId="2"/>
  </si>
  <si>
    <t>15分=0.25/30分=0.50/45分=0.75</t>
    <phoneticPr fontId="2"/>
  </si>
  <si>
    <t>https://media.yayoi-kk.co.jp/12486/</t>
    <phoneticPr fontId="2"/>
  </si>
  <si>
    <t>10進法</t>
    <rPh sb="2" eb="4">
      <t>シンホウ</t>
    </rPh>
    <phoneticPr fontId="2"/>
  </si>
  <si>
    <t>時間計</t>
    <rPh sb="0" eb="2">
      <t>ジカン</t>
    </rPh>
    <rPh sb="2" eb="3">
      <t>ケイ</t>
    </rPh>
    <phoneticPr fontId="2"/>
  </si>
  <si>
    <t>通常計
時間計</t>
    <rPh sb="0" eb="2">
      <t>ツウジョウ</t>
    </rPh>
    <rPh sb="2" eb="3">
      <t>ケイ</t>
    </rPh>
    <rPh sb="4" eb="6">
      <t>ジカン</t>
    </rPh>
    <rPh sb="6" eb="7">
      <t>ケイ</t>
    </rPh>
    <phoneticPr fontId="2"/>
  </si>
  <si>
    <t>時間外B
法定休日</t>
    <rPh sb="0" eb="2">
      <t>ジカン</t>
    </rPh>
    <rPh sb="2" eb="3">
      <t>ガイ</t>
    </rPh>
    <rPh sb="5" eb="9">
      <t>ホウテイキュウジツ</t>
    </rPh>
    <phoneticPr fontId="2"/>
  </si>
  <si>
    <t>時間外A
8時間超過</t>
    <rPh sb="0" eb="2">
      <t>ジカン</t>
    </rPh>
    <rPh sb="2" eb="3">
      <t>ガイ</t>
    </rPh>
    <rPh sb="6" eb="8">
      <t>ジカン</t>
    </rPh>
    <rPh sb="8" eb="10">
      <t>チョウカ</t>
    </rPh>
    <phoneticPr fontId="2"/>
  </si>
  <si>
    <t>スタッフ料</t>
    <rPh sb="4" eb="5">
      <t>リョウ</t>
    </rPh>
    <phoneticPr fontId="2"/>
  </si>
  <si>
    <t>(スタッフ料＋時間外)</t>
    <rPh sb="5" eb="6">
      <t>リョウ</t>
    </rPh>
    <rPh sb="7" eb="10">
      <t>ジカンガイ</t>
    </rPh>
    <phoneticPr fontId="2"/>
  </si>
  <si>
    <t>月</t>
    <rPh sb="0" eb="1">
      <t>ガツ</t>
    </rPh>
    <phoneticPr fontId="2"/>
  </si>
  <si>
    <t>スタッフ料支払明細書</t>
    <rPh sb="4" eb="5">
      <t>リョウ</t>
    </rPh>
    <rPh sb="5" eb="7">
      <t>シハライ</t>
    </rPh>
    <rPh sb="7" eb="10">
      <t>メイサイショ</t>
    </rPh>
    <phoneticPr fontId="2"/>
  </si>
  <si>
    <t>円  ×  1.25</t>
    <rPh sb="0" eb="1">
      <t>エン</t>
    </rPh>
    <phoneticPr fontId="2"/>
  </si>
  <si>
    <t>円  ×  1.35</t>
    <rPh sb="0" eb="1">
      <t>エン</t>
    </rPh>
    <phoneticPr fontId="2"/>
  </si>
  <si>
    <t>池袋校　　　氏名：立石　美紀　　　法定休日:金曜日</t>
    <rPh sb="0" eb="2">
      <t>イケブクロ</t>
    </rPh>
    <rPh sb="2" eb="3">
      <t>コウ</t>
    </rPh>
    <rPh sb="6" eb="8">
      <t>シメイ</t>
    </rPh>
    <rPh sb="17" eb="19">
      <t>ホウテイ</t>
    </rPh>
    <rPh sb="19" eb="21">
      <t>キュウジツ</t>
    </rPh>
    <rPh sb="22" eb="25">
      <t>キンヨウビ</t>
    </rPh>
    <phoneticPr fontId="2"/>
  </si>
  <si>
    <t>小数点第一位は切り捨て</t>
    <rPh sb="0" eb="6">
      <t>ショウスウテンダイイチイ</t>
    </rPh>
    <rPh sb="7" eb="8">
      <t>キ</t>
    </rPh>
    <rPh sb="9" eb="10">
      <t>ス</t>
    </rPh>
    <phoneticPr fontId="2"/>
  </si>
  <si>
    <t>※有給日数と時間は年度により異なる</t>
    <rPh sb="1" eb="3">
      <t>ユウキュウ</t>
    </rPh>
    <rPh sb="3" eb="5">
      <t>ニッスウ</t>
    </rPh>
    <rPh sb="6" eb="8">
      <t>ジカン</t>
    </rPh>
    <rPh sb="9" eb="11">
      <t>ネンド</t>
    </rPh>
    <rPh sb="14" eb="15">
      <t>コト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</si>
</sst>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5" formatCode="&quot;¥&quot;#,##0;&quot;¥&quot;\-#,##0"/>
    <numFmt numFmtId="176" formatCode="h:mm;@"/>
    <numFmt numFmtId="177" formatCode="0.00_ "/>
  </numFmts>
  <fonts count="14" x14ac:knownFonts="1"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  <scheme val="minor"/>
    </font>
    <font>
      <sz val="11"/>
      <color theme="1"/>
      <name val="ＭＳ Ｐゴシック"/>
      <family val="2"/>
      <scheme val="minor"/>
    </font>
    <font>
      <sz val="12"/>
      <color theme="1"/>
      <name val="Meiryo UI"/>
      <family val="3"/>
      <charset val="128"/>
    </font>
    <font>
      <b/>
      <sz val="16"/>
      <color theme="1"/>
      <name val="Meiryo UI"/>
      <family val="3"/>
      <charset val="128"/>
    </font>
    <font>
      <b/>
      <sz val="11"/>
      <color theme="1"/>
      <name val="Meiryo UI"/>
      <family val="3"/>
      <charset val="128"/>
    </font>
    <font>
      <sz val="11"/>
      <color theme="1"/>
      <name val="Meiryo UI"/>
      <family val="3"/>
      <charset val="128"/>
    </font>
    <font>
      <sz val="14"/>
      <color theme="1"/>
      <name val="Meiryo UI"/>
      <family val="3"/>
      <charset val="128"/>
    </font>
    <font>
      <sz val="12"/>
      <name val="Meiryo UI"/>
      <family val="3"/>
      <charset val="128"/>
    </font>
    <font>
      <u/>
      <sz val="11"/>
      <color theme="10"/>
      <name val="ＭＳ Ｐゴシック"/>
      <family val="2"/>
      <scheme val="minor"/>
    </font>
    <font>
      <sz val="11"/>
      <name val="ＭＳ Ｐゴシック"/>
      <family val="3"/>
      <charset val="128"/>
    </font>
    <font>
      <b/>
      <sz val="12"/>
      <color theme="1"/>
      <name val="Meiryo UI"/>
      <family val="3"/>
      <charset val="128"/>
    </font>
    <font>
      <b/>
      <sz val="12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DD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FF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38" fontId="3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/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38" fontId="11" fillId="0" borderId="0" applyFont="0" applyFill="0" applyBorder="0" applyAlignment="0" applyProtection="0">
      <alignment vertical="center"/>
    </xf>
  </cellStyleXfs>
  <cellXfs count="83">
    <xf numFmtId="0" fontId="0" fillId="0" borderId="0" xfId="0"/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7" fillId="0" borderId="10" xfId="0" applyFont="1" applyBorder="1"/>
    <xf numFmtId="0" fontId="7" fillId="0" borderId="0" xfId="0" applyFont="1"/>
    <xf numFmtId="0" fontId="4" fillId="0" borderId="17" xfId="0" applyFont="1" applyBorder="1"/>
    <xf numFmtId="38" fontId="7" fillId="0" borderId="0" xfId="0" applyNumberFormat="1" applyFont="1"/>
    <xf numFmtId="1" fontId="7" fillId="0" borderId="0" xfId="0" applyNumberFormat="1" applyFont="1"/>
    <xf numFmtId="0" fontId="9" fillId="0" borderId="0" xfId="0" applyFont="1"/>
    <xf numFmtId="0" fontId="4" fillId="2" borderId="9" xfId="0" applyFont="1" applyFill="1" applyBorder="1" applyAlignment="1">
      <alignment horizontal="centerContinuous" vertical="center"/>
    </xf>
    <xf numFmtId="0" fontId="4" fillId="2" borderId="8" xfId="0" applyFont="1" applyFill="1" applyBorder="1" applyAlignment="1">
      <alignment horizontal="centerContinuous" vertical="center"/>
    </xf>
    <xf numFmtId="0" fontId="4" fillId="2" borderId="7" xfId="0" applyFont="1" applyFill="1" applyBorder="1" applyAlignment="1">
      <alignment horizontal="centerContinuous" vertical="center"/>
    </xf>
    <xf numFmtId="0" fontId="10" fillId="0" borderId="0" xfId="2"/>
    <xf numFmtId="0" fontId="4" fillId="2" borderId="8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12" fillId="4" borderId="8" xfId="0" applyFont="1" applyFill="1" applyBorder="1"/>
    <xf numFmtId="0" fontId="6" fillId="0" borderId="0" xfId="0" applyFont="1"/>
    <xf numFmtId="0" fontId="13" fillId="0" borderId="8" xfId="0" applyFont="1" applyBorder="1"/>
    <xf numFmtId="0" fontId="12" fillId="4" borderId="8" xfId="0" applyFont="1" applyFill="1" applyBorder="1" applyAlignment="1">
      <alignment horizontal="left"/>
    </xf>
    <xf numFmtId="0" fontId="12" fillId="4" borderId="8" xfId="0" applyFont="1" applyFill="1" applyBorder="1" applyAlignment="1">
      <alignment horizontal="center"/>
    </xf>
    <xf numFmtId="0" fontId="6" fillId="0" borderId="16" xfId="0" applyFont="1" applyBorder="1"/>
    <xf numFmtId="0" fontId="6" fillId="0" borderId="9" xfId="0" applyFont="1" applyBorder="1"/>
    <xf numFmtId="38" fontId="12" fillId="0" borderId="8" xfId="1" applyFont="1" applyFill="1" applyBorder="1" applyAlignment="1"/>
    <xf numFmtId="177" fontId="9" fillId="0" borderId="0" xfId="0" applyNumberFormat="1" applyFont="1"/>
    <xf numFmtId="0" fontId="5" fillId="0" borderId="10" xfId="0" applyFont="1" applyBorder="1" applyAlignment="1">
      <alignment horizontal="center"/>
    </xf>
    <xf numFmtId="0" fontId="6" fillId="4" borderId="19" xfId="0" applyFont="1" applyFill="1" applyBorder="1" applyAlignment="1">
      <alignment horizontal="left"/>
    </xf>
    <xf numFmtId="14" fontId="4" fillId="0" borderId="4" xfId="0" applyNumberFormat="1" applyFont="1" applyBorder="1" applyAlignment="1">
      <alignment horizontal="center"/>
    </xf>
    <xf numFmtId="176" fontId="4" fillId="5" borderId="5" xfId="0" applyNumberFormat="1" applyFont="1" applyFill="1" applyBorder="1" applyProtection="1">
      <protection locked="0"/>
    </xf>
    <xf numFmtId="177" fontId="12" fillId="0" borderId="9" xfId="0" applyNumberFormat="1" applyFont="1" applyBorder="1"/>
    <xf numFmtId="0" fontId="12" fillId="0" borderId="9" xfId="0" applyFont="1" applyBorder="1"/>
    <xf numFmtId="0" fontId="6" fillId="4" borderId="7" xfId="0" applyFont="1" applyFill="1" applyBorder="1" applyAlignment="1">
      <alignment horizontal="left"/>
    </xf>
    <xf numFmtId="0" fontId="5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Protection="1">
      <protection locked="0"/>
    </xf>
    <xf numFmtId="0" fontId="9" fillId="0" borderId="10" xfId="0" applyFont="1" applyBorder="1" applyAlignment="1">
      <alignment horizontal="center"/>
    </xf>
    <xf numFmtId="0" fontId="5" fillId="0" borderId="10" xfId="0" applyFont="1" applyBorder="1" applyAlignment="1">
      <alignment horizontal="left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3" fontId="12" fillId="5" borderId="1" xfId="0" applyNumberFormat="1" applyFont="1" applyFill="1" applyBorder="1" applyProtection="1">
      <protection locked="0"/>
    </xf>
    <xf numFmtId="3" fontId="12" fillId="4" borderId="8" xfId="0" applyNumberFormat="1" applyFont="1" applyFill="1" applyBorder="1"/>
    <xf numFmtId="3" fontId="6" fillId="4" borderId="16" xfId="0" applyNumberFormat="1" applyFont="1" applyFill="1" applyBorder="1"/>
    <xf numFmtId="0" fontId="5" fillId="5" borderId="10" xfId="0" applyFont="1" applyFill="1" applyBorder="1" applyAlignment="1" applyProtection="1">
      <alignment horizontal="center"/>
      <protection locked="0"/>
    </xf>
    <xf numFmtId="0" fontId="4" fillId="0" borderId="5" xfId="0" applyFont="1" applyBorder="1" applyAlignment="1">
      <alignment horizontal="center"/>
    </xf>
    <xf numFmtId="176" fontId="4" fillId="0" borderId="5" xfId="0" applyNumberFormat="1" applyFont="1" applyBorder="1"/>
    <xf numFmtId="177" fontId="9" fillId="0" borderId="5" xfId="0" applyNumberFormat="1" applyFont="1" applyBorder="1"/>
    <xf numFmtId="0" fontId="4" fillId="3" borderId="5" xfId="0" applyFont="1" applyFill="1" applyBorder="1" applyProtection="1">
      <protection locked="0"/>
    </xf>
    <xf numFmtId="3" fontId="4" fillId="0" borderId="5" xfId="0" applyNumberFormat="1" applyFont="1" applyBorder="1"/>
    <xf numFmtId="3" fontId="12" fillId="0" borderId="8" xfId="0" applyNumberFormat="1" applyFont="1" applyBorder="1"/>
    <xf numFmtId="3" fontId="7" fillId="0" borderId="0" xfId="0" applyNumberFormat="1" applyFont="1"/>
    <xf numFmtId="5" fontId="7" fillId="0" borderId="0" xfId="0" applyNumberFormat="1" applyFont="1"/>
    <xf numFmtId="3" fontId="12" fillId="0" borderId="8" xfId="1" applyNumberFormat="1" applyFont="1" applyFill="1" applyBorder="1" applyAlignment="1"/>
    <xf numFmtId="0" fontId="13" fillId="0" borderId="0" xfId="0" applyFont="1"/>
    <xf numFmtId="177" fontId="12" fillId="0" borderId="9" xfId="0" applyNumberFormat="1" applyFont="1" applyBorder="1" applyAlignment="1">
      <alignment shrinkToFit="1"/>
    </xf>
    <xf numFmtId="5" fontId="7" fillId="0" borderId="0" xfId="0" applyNumberFormat="1" applyFont="1" applyAlignment="1">
      <alignment shrinkToFi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14" fontId="6" fillId="2" borderId="11" xfId="0" applyNumberFormat="1" applyFont="1" applyFill="1" applyBorder="1" applyAlignment="1">
      <alignment horizontal="center" vertical="center"/>
    </xf>
    <xf numFmtId="14" fontId="6" fillId="2" borderId="13" xfId="0" applyNumberFormat="1" applyFont="1" applyFill="1" applyBorder="1" applyAlignment="1">
      <alignment horizontal="center" vertical="center"/>
    </xf>
    <xf numFmtId="14" fontId="6" fillId="2" borderId="15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12" xfId="0" applyFont="1" applyBorder="1" applyAlignment="1">
      <alignment vertical="center"/>
    </xf>
    <xf numFmtId="0" fontId="6" fillId="0" borderId="14" xfId="0" applyFont="1" applyBorder="1" applyAlignment="1">
      <alignment vertical="center"/>
    </xf>
    <xf numFmtId="0" fontId="6" fillId="0" borderId="16" xfId="0" applyFont="1" applyBorder="1" applyAlignment="1">
      <alignment vertical="center"/>
    </xf>
    <xf numFmtId="0" fontId="8" fillId="0" borderId="0" xfId="0" applyFont="1" applyAlignment="1">
      <alignment horizontal="right"/>
    </xf>
    <xf numFmtId="58" fontId="8" fillId="0" borderId="0" xfId="0" applyNumberFormat="1" applyFont="1" applyAlignment="1">
      <alignment horizontal="right"/>
    </xf>
    <xf numFmtId="0" fontId="4" fillId="2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3" fontId="6" fillId="0" borderId="11" xfId="0" applyNumberFormat="1" applyFont="1" applyBorder="1" applyAlignment="1">
      <alignment horizontal="right" vertical="center"/>
    </xf>
    <xf numFmtId="3" fontId="6" fillId="0" borderId="13" xfId="0" applyNumberFormat="1" applyFont="1" applyBorder="1" applyAlignment="1">
      <alignment horizontal="right" vertical="center"/>
    </xf>
    <xf numFmtId="3" fontId="6" fillId="0" borderId="15" xfId="0" applyNumberFormat="1" applyFont="1" applyBorder="1" applyAlignment="1">
      <alignment horizontal="right" vertical="center"/>
    </xf>
  </cellXfs>
  <cellStyles count="7">
    <cellStyle name="ハイパーリンク" xfId="2" builtinId="8"/>
    <cellStyle name="桁区切り" xfId="1" builtinId="6"/>
    <cellStyle name="桁区切り 2" xfId="4" xr:uid="{15F10435-CBE7-407C-A6A8-A3194470E052}"/>
    <cellStyle name="桁区切り 3" xfId="6" xr:uid="{4A9CD968-4E04-4E15-8FBC-6292044602E8}"/>
    <cellStyle name="標準" xfId="0" builtinId="0"/>
    <cellStyle name="標準 2" xfId="3" xr:uid="{9353C646-7704-4517-9DAD-408B3A22614F}"/>
    <cellStyle name="標準 3" xfId="5" xr:uid="{B241AB11-F309-403A-B7DF-2DEF4ABE0AA8}"/>
  </cellStyles>
  <dxfs count="0"/>
  <tableStyles count="0" defaultTableStyle="TableStyleMedium2" defaultPivotStyle="PivotStyleMedium9"/>
  <colors>
    <mruColors>
      <color rgb="FFCCFFFF"/>
      <color rgb="FFDDFFFF"/>
      <color rgb="FFF7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media.yayoi-kk.co.jp/12486/" TargetMode="External"/><Relationship Id="rId1" Type="http://schemas.openxmlformats.org/officeDocument/2006/relationships/hyperlink" Target="https://faq.freeway-japan.com/faq/show/1086?category_id=1&amp;site_domain=defaul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2C952-9A1F-4E29-ABE9-80A9854EAFD5}">
  <sheetPr>
    <tabColor rgb="FFCCFFFF"/>
  </sheetPr>
  <dimension ref="B1:R50"/>
  <sheetViews>
    <sheetView tabSelected="1" view="pageBreakPreview" topLeftCell="B1" zoomScale="70" zoomScaleNormal="70" zoomScaleSheetLayoutView="70" workbookViewId="0">
      <selection activeCell="O17" sqref="O17:P17"/>
    </sheetView>
  </sheetViews>
  <sheetFormatPr defaultColWidth="9" defaultRowHeight="16" outlineLevelCol="1" x14ac:dyDescent="0.35"/>
  <cols>
    <col min="1" max="1" width="1.26953125" style="5" customWidth="1"/>
    <col min="2" max="2" width="15.6328125" style="5" customWidth="1"/>
    <col min="3" max="3" width="13.6328125" style="5" customWidth="1"/>
    <col min="4" max="4" width="10.36328125" style="5" customWidth="1" outlineLevel="1"/>
    <col min="5" max="7" width="13.6328125" style="5" customWidth="1"/>
    <col min="8" max="8" width="10.36328125" style="5" hidden="1" customWidth="1" outlineLevel="1"/>
    <col min="9" max="9" width="10.36328125" style="9" hidden="1" customWidth="1" outlineLevel="1"/>
    <col min="10" max="10" width="13.6328125" style="9" customWidth="1" collapsed="1"/>
    <col min="11" max="12" width="13.6328125" style="5" customWidth="1"/>
    <col min="13" max="13" width="10.36328125" style="5" hidden="1" customWidth="1" outlineLevel="1"/>
    <col min="14" max="14" width="13.6328125" style="5" customWidth="1" collapsed="1"/>
    <col min="15" max="15" width="20.6328125" style="5" customWidth="1"/>
    <col min="16" max="16" width="5.26953125" style="5" customWidth="1"/>
    <col min="17" max="16384" width="9" style="5"/>
  </cols>
  <sheetData>
    <row r="1" spans="2:16" ht="23" customHeight="1" thickBot="1" x14ac:dyDescent="0.55000000000000004">
      <c r="E1" s="28" t="s">
        <v>5</v>
      </c>
      <c r="F1" s="45">
        <v>2026</v>
      </c>
      <c r="G1" s="28" t="s">
        <v>6</v>
      </c>
      <c r="H1" s="28" t="s">
        <v>7</v>
      </c>
      <c r="I1" s="38"/>
      <c r="J1" s="45">
        <v>3</v>
      </c>
      <c r="K1" s="28" t="s">
        <v>34</v>
      </c>
      <c r="L1" s="39" t="s">
        <v>35</v>
      </c>
      <c r="N1" s="4"/>
    </row>
    <row r="2" spans="2:16" ht="23" customHeight="1" x14ac:dyDescent="0.5">
      <c r="B2" s="35"/>
      <c r="C2" s="36"/>
      <c r="E2" s="36"/>
      <c r="F2" s="37"/>
      <c r="G2" s="36"/>
      <c r="H2" s="36"/>
      <c r="J2" s="37"/>
      <c r="K2" s="36"/>
      <c r="L2" s="69"/>
      <c r="M2" s="69"/>
      <c r="N2" s="69"/>
      <c r="O2" s="69"/>
      <c r="P2" s="69"/>
    </row>
    <row r="3" spans="2:16" ht="23" customHeight="1" x14ac:dyDescent="0.5">
      <c r="B3" s="41" t="s">
        <v>38</v>
      </c>
      <c r="C3" s="36"/>
      <c r="E3" s="40"/>
      <c r="F3" s="41"/>
      <c r="G3" s="36"/>
      <c r="J3" s="55" t="s">
        <v>40</v>
      </c>
      <c r="N3" s="70"/>
      <c r="O3" s="69"/>
      <c r="P3" s="69"/>
    </row>
    <row r="4" spans="2:16" x14ac:dyDescent="0.35">
      <c r="B4" s="71" t="s">
        <v>0</v>
      </c>
      <c r="C4" s="72" t="s">
        <v>1</v>
      </c>
      <c r="D4" s="73" t="s">
        <v>14</v>
      </c>
      <c r="E4" s="10" t="s">
        <v>12</v>
      </c>
      <c r="F4" s="11"/>
      <c r="G4" s="11"/>
      <c r="H4" s="11"/>
      <c r="I4" s="12"/>
      <c r="J4" s="12"/>
      <c r="K4" s="75" t="s">
        <v>11</v>
      </c>
      <c r="L4" s="75"/>
      <c r="M4" s="75" t="s">
        <v>8</v>
      </c>
      <c r="N4" s="75"/>
      <c r="O4" s="76" t="s">
        <v>13</v>
      </c>
      <c r="P4" s="77"/>
    </row>
    <row r="5" spans="2:16" ht="32" x14ac:dyDescent="0.35">
      <c r="B5" s="71"/>
      <c r="C5" s="72"/>
      <c r="D5" s="74"/>
      <c r="E5" s="1" t="s">
        <v>2</v>
      </c>
      <c r="F5" s="2" t="s">
        <v>3</v>
      </c>
      <c r="G5" s="2" t="s">
        <v>4</v>
      </c>
      <c r="H5" s="15" t="s">
        <v>23</v>
      </c>
      <c r="I5" s="16" t="s">
        <v>29</v>
      </c>
      <c r="J5" s="14" t="s">
        <v>28</v>
      </c>
      <c r="K5" s="18" t="s">
        <v>31</v>
      </c>
      <c r="L5" s="17" t="s">
        <v>30</v>
      </c>
      <c r="M5" s="1" t="s">
        <v>9</v>
      </c>
      <c r="N5" s="3" t="s">
        <v>10</v>
      </c>
      <c r="O5" s="78"/>
      <c r="P5" s="79"/>
    </row>
    <row r="6" spans="2:16" ht="33" customHeight="1" x14ac:dyDescent="0.35">
      <c r="B6" s="30">
        <f>DATE($F$1,$J$1,1)</f>
        <v>46082</v>
      </c>
      <c r="C6" s="46" t="str">
        <f>TEXT(B6,"aaa")</f>
        <v>日</v>
      </c>
      <c r="D6" s="46" t="str">
        <f>IF(C6="金", "◯", "")</f>
        <v/>
      </c>
      <c r="E6" s="31"/>
      <c r="F6" s="31"/>
      <c r="G6" s="31"/>
      <c r="H6" s="47" t="str">
        <f>IF(E6="","",F6-E6-G6)</f>
        <v/>
      </c>
      <c r="I6" s="48" t="str">
        <f t="shared" ref="I6:I14" si="0">IF(H6="", "", INT(H6*24) + ROUNDDOWN(MINUTE(H6)/15,0)/4)</f>
        <v/>
      </c>
      <c r="J6" s="48" t="str">
        <f t="shared" ref="J6:J36" si="1">IF(OR(I6="", I6=0, I6&lt;0.25), "", MIN(8, I6))</f>
        <v/>
      </c>
      <c r="K6" s="48" t="str">
        <f>IFERROR(IF(OR(I6=8,I6=7.75),"",IF(I6&gt;8,I6-8,"")),"")</f>
        <v/>
      </c>
      <c r="L6" s="48" t="str">
        <f t="shared" ref="L6:L36" si="2">IF(D6="◯", J6, IF(D6="", "", ""))</f>
        <v/>
      </c>
      <c r="M6" s="49"/>
      <c r="N6" s="50"/>
      <c r="O6" s="58"/>
      <c r="P6" s="59"/>
    </row>
    <row r="7" spans="2:16" ht="33" customHeight="1" x14ac:dyDescent="0.35">
      <c r="B7" s="30">
        <f>DATE($F$1,$J$1,2)</f>
        <v>46083</v>
      </c>
      <c r="C7" s="46" t="str">
        <f t="shared" ref="C7:C36" si="3">TEXT(B7,"aaa")</f>
        <v>月</v>
      </c>
      <c r="D7" s="46" t="str">
        <f t="shared" ref="D7:D36" si="4">IF(C7="金", "◯", "")</f>
        <v/>
      </c>
      <c r="E7" s="31"/>
      <c r="F7" s="31"/>
      <c r="G7" s="31"/>
      <c r="H7" s="47" t="str">
        <f t="shared" ref="H7:H36" si="5">IF(E7="","",F7-E7-G7)</f>
        <v/>
      </c>
      <c r="I7" s="48" t="str">
        <f t="shared" si="0"/>
        <v/>
      </c>
      <c r="J7" s="48" t="str">
        <f t="shared" si="1"/>
        <v/>
      </c>
      <c r="K7" s="48" t="str">
        <f t="shared" ref="K7:K36" si="6">IFERROR(IF(OR(I7=8,I7=7.75),"",IF(I7&gt;8,I7-8,"")),"")</f>
        <v/>
      </c>
      <c r="L7" s="48" t="str">
        <f t="shared" si="2"/>
        <v/>
      </c>
      <c r="M7" s="49"/>
      <c r="N7" s="50"/>
      <c r="O7" s="58"/>
      <c r="P7" s="59"/>
    </row>
    <row r="8" spans="2:16" ht="33" customHeight="1" x14ac:dyDescent="0.35">
      <c r="B8" s="30">
        <f>DATE($F$1,$J$1,3)</f>
        <v>46084</v>
      </c>
      <c r="C8" s="46" t="str">
        <f t="shared" si="3"/>
        <v>火</v>
      </c>
      <c r="D8" s="46" t="str">
        <f t="shared" si="4"/>
        <v/>
      </c>
      <c r="E8" s="31"/>
      <c r="F8" s="31"/>
      <c r="G8" s="31"/>
      <c r="H8" s="47" t="str">
        <f t="shared" si="5"/>
        <v/>
      </c>
      <c r="I8" s="48" t="str">
        <f t="shared" si="0"/>
        <v/>
      </c>
      <c r="J8" s="48" t="str">
        <f t="shared" si="1"/>
        <v/>
      </c>
      <c r="K8" s="48" t="str">
        <f t="shared" si="6"/>
        <v/>
      </c>
      <c r="L8" s="48" t="str">
        <f t="shared" si="2"/>
        <v/>
      </c>
      <c r="M8" s="49"/>
      <c r="N8" s="50"/>
      <c r="O8" s="58"/>
      <c r="P8" s="59"/>
    </row>
    <row r="9" spans="2:16" ht="33" customHeight="1" x14ac:dyDescent="0.35">
      <c r="B9" s="30">
        <f>DATE($F$1,$J$1,4)</f>
        <v>46085</v>
      </c>
      <c r="C9" s="46" t="str">
        <f t="shared" si="3"/>
        <v>水</v>
      </c>
      <c r="D9" s="46" t="str">
        <f t="shared" si="4"/>
        <v/>
      </c>
      <c r="E9" s="31"/>
      <c r="F9" s="31"/>
      <c r="G9" s="31"/>
      <c r="H9" s="47" t="str">
        <f t="shared" si="5"/>
        <v/>
      </c>
      <c r="I9" s="48" t="str">
        <f t="shared" si="0"/>
        <v/>
      </c>
      <c r="J9" s="48" t="str">
        <f t="shared" si="1"/>
        <v/>
      </c>
      <c r="K9" s="48" t="str">
        <f t="shared" si="6"/>
        <v/>
      </c>
      <c r="L9" s="48" t="str">
        <f t="shared" si="2"/>
        <v/>
      </c>
      <c r="M9" s="49"/>
      <c r="N9" s="50"/>
      <c r="O9" s="58"/>
      <c r="P9" s="59"/>
    </row>
    <row r="10" spans="2:16" ht="33" customHeight="1" x14ac:dyDescent="0.35">
      <c r="B10" s="30">
        <f>DATE($F$1,$J$1,5)</f>
        <v>46086</v>
      </c>
      <c r="C10" s="46" t="str">
        <f t="shared" si="3"/>
        <v>木</v>
      </c>
      <c r="D10" s="46" t="str">
        <f t="shared" si="4"/>
        <v/>
      </c>
      <c r="E10" s="31"/>
      <c r="F10" s="31"/>
      <c r="G10" s="31"/>
      <c r="H10" s="47" t="str">
        <f t="shared" si="5"/>
        <v/>
      </c>
      <c r="I10" s="48" t="str">
        <f t="shared" si="0"/>
        <v/>
      </c>
      <c r="J10" s="48" t="str">
        <f t="shared" si="1"/>
        <v/>
      </c>
      <c r="K10" s="48" t="str">
        <f t="shared" si="6"/>
        <v/>
      </c>
      <c r="L10" s="48" t="str">
        <f t="shared" si="2"/>
        <v/>
      </c>
      <c r="M10" s="49"/>
      <c r="N10" s="50"/>
      <c r="O10" s="58"/>
      <c r="P10" s="59"/>
    </row>
    <row r="11" spans="2:16" ht="33" customHeight="1" x14ac:dyDescent="0.35">
      <c r="B11" s="30">
        <f>DATE($F$1,$J$1,6)</f>
        <v>46087</v>
      </c>
      <c r="C11" s="46" t="str">
        <f t="shared" si="3"/>
        <v>金</v>
      </c>
      <c r="D11" s="46" t="str">
        <f t="shared" si="4"/>
        <v>◯</v>
      </c>
      <c r="E11" s="31"/>
      <c r="F11" s="31"/>
      <c r="G11" s="31"/>
      <c r="H11" s="47" t="str">
        <f t="shared" si="5"/>
        <v/>
      </c>
      <c r="I11" s="48" t="str">
        <f t="shared" si="0"/>
        <v/>
      </c>
      <c r="J11" s="48" t="str">
        <f t="shared" si="1"/>
        <v/>
      </c>
      <c r="K11" s="48" t="str">
        <f t="shared" si="6"/>
        <v/>
      </c>
      <c r="L11" s="48" t="str">
        <f t="shared" si="2"/>
        <v/>
      </c>
      <c r="M11" s="49"/>
      <c r="N11" s="50"/>
      <c r="O11" s="58"/>
      <c r="P11" s="59"/>
    </row>
    <row r="12" spans="2:16" ht="33" customHeight="1" x14ac:dyDescent="0.35">
      <c r="B12" s="30">
        <f>DATE($F$1,$J$1,7)</f>
        <v>46088</v>
      </c>
      <c r="C12" s="46" t="str">
        <f t="shared" si="3"/>
        <v>土</v>
      </c>
      <c r="D12" s="46" t="str">
        <f t="shared" si="4"/>
        <v/>
      </c>
      <c r="E12" s="31"/>
      <c r="F12" s="31"/>
      <c r="G12" s="31"/>
      <c r="H12" s="47" t="str">
        <f t="shared" si="5"/>
        <v/>
      </c>
      <c r="I12" s="48" t="str">
        <f t="shared" si="0"/>
        <v/>
      </c>
      <c r="J12" s="48" t="str">
        <f t="shared" si="1"/>
        <v/>
      </c>
      <c r="K12" s="48" t="str">
        <f t="shared" si="6"/>
        <v/>
      </c>
      <c r="L12" s="48" t="str">
        <f t="shared" si="2"/>
        <v/>
      </c>
      <c r="M12" s="49"/>
      <c r="N12" s="50"/>
      <c r="O12" s="58"/>
      <c r="P12" s="59"/>
    </row>
    <row r="13" spans="2:16" ht="33" customHeight="1" x14ac:dyDescent="0.35">
      <c r="B13" s="30">
        <f>DATE($F$1,$J$1,8)</f>
        <v>46089</v>
      </c>
      <c r="C13" s="46" t="str">
        <f t="shared" si="3"/>
        <v>日</v>
      </c>
      <c r="D13" s="46" t="str">
        <f t="shared" si="4"/>
        <v/>
      </c>
      <c r="E13" s="31"/>
      <c r="F13" s="31"/>
      <c r="G13" s="31"/>
      <c r="H13" s="47" t="str">
        <f t="shared" si="5"/>
        <v/>
      </c>
      <c r="I13" s="48" t="str">
        <f t="shared" si="0"/>
        <v/>
      </c>
      <c r="J13" s="48" t="str">
        <f t="shared" si="1"/>
        <v/>
      </c>
      <c r="K13" s="48" t="str">
        <f t="shared" si="6"/>
        <v/>
      </c>
      <c r="L13" s="48" t="str">
        <f t="shared" si="2"/>
        <v/>
      </c>
      <c r="M13" s="49"/>
      <c r="N13" s="50"/>
      <c r="O13" s="58"/>
      <c r="P13" s="59"/>
    </row>
    <row r="14" spans="2:16" ht="33" customHeight="1" x14ac:dyDescent="0.35">
      <c r="B14" s="30">
        <f>DATE($F$1,$J$1,9)</f>
        <v>46090</v>
      </c>
      <c r="C14" s="46" t="str">
        <f t="shared" si="3"/>
        <v>月</v>
      </c>
      <c r="D14" s="46" t="str">
        <f t="shared" si="4"/>
        <v/>
      </c>
      <c r="E14" s="31"/>
      <c r="F14" s="31"/>
      <c r="G14" s="31"/>
      <c r="H14" s="47" t="str">
        <f t="shared" si="5"/>
        <v/>
      </c>
      <c r="I14" s="48" t="str">
        <f t="shared" si="0"/>
        <v/>
      </c>
      <c r="J14" s="48" t="str">
        <f t="shared" si="1"/>
        <v/>
      </c>
      <c r="K14" s="48" t="str">
        <f t="shared" si="6"/>
        <v/>
      </c>
      <c r="L14" s="48" t="str">
        <f t="shared" si="2"/>
        <v/>
      </c>
      <c r="M14" s="49"/>
      <c r="N14" s="50"/>
      <c r="O14" s="58"/>
      <c r="P14" s="59"/>
    </row>
    <row r="15" spans="2:16" ht="33" customHeight="1" x14ac:dyDescent="0.35">
      <c r="B15" s="30">
        <f>DATE($F$1,$J$1,10)</f>
        <v>46091</v>
      </c>
      <c r="C15" s="46" t="str">
        <f t="shared" si="3"/>
        <v>火</v>
      </c>
      <c r="D15" s="46" t="str">
        <f t="shared" si="4"/>
        <v/>
      </c>
      <c r="E15" s="31"/>
      <c r="F15" s="31"/>
      <c r="G15" s="31"/>
      <c r="H15" s="47" t="str">
        <f t="shared" si="5"/>
        <v/>
      </c>
      <c r="I15" s="48" t="str">
        <f>IF(H15="", "", INT(H15*24) + ROUNDDOWN(MINUTE(H15)/15,0)/4)</f>
        <v/>
      </c>
      <c r="J15" s="48" t="str">
        <f t="shared" si="1"/>
        <v/>
      </c>
      <c r="K15" s="48" t="str">
        <f t="shared" si="6"/>
        <v/>
      </c>
      <c r="L15" s="48" t="str">
        <f t="shared" si="2"/>
        <v/>
      </c>
      <c r="M15" s="49"/>
      <c r="N15" s="50"/>
      <c r="O15" s="58"/>
      <c r="P15" s="59"/>
    </row>
    <row r="16" spans="2:16" ht="33" customHeight="1" x14ac:dyDescent="0.35">
      <c r="B16" s="30">
        <f>DATE($F$1,$J$1,11)</f>
        <v>46092</v>
      </c>
      <c r="C16" s="46" t="str">
        <f t="shared" si="3"/>
        <v>水</v>
      </c>
      <c r="D16" s="46" t="str">
        <f t="shared" si="4"/>
        <v/>
      </c>
      <c r="E16" s="31"/>
      <c r="F16" s="31"/>
      <c r="G16" s="31"/>
      <c r="H16" s="47" t="str">
        <f t="shared" si="5"/>
        <v/>
      </c>
      <c r="I16" s="48" t="str">
        <f t="shared" ref="I16:I36" si="7">IF(H16="", "", INT(H16*24) + ROUNDDOWN(MINUTE(H16)/15,0)/4)</f>
        <v/>
      </c>
      <c r="J16" s="48" t="str">
        <f t="shared" si="1"/>
        <v/>
      </c>
      <c r="K16" s="48" t="str">
        <f t="shared" si="6"/>
        <v/>
      </c>
      <c r="L16" s="48" t="str">
        <f t="shared" si="2"/>
        <v/>
      </c>
      <c r="M16" s="49"/>
      <c r="N16" s="50"/>
      <c r="O16" s="58"/>
      <c r="P16" s="59"/>
    </row>
    <row r="17" spans="2:16" ht="33" customHeight="1" x14ac:dyDescent="0.35">
      <c r="B17" s="30">
        <f>DATE($F$1,$J$1,12)</f>
        <v>46093</v>
      </c>
      <c r="C17" s="46" t="str">
        <f t="shared" si="3"/>
        <v>木</v>
      </c>
      <c r="D17" s="46" t="str">
        <f t="shared" si="4"/>
        <v/>
      </c>
      <c r="E17" s="31"/>
      <c r="F17" s="31"/>
      <c r="G17" s="31"/>
      <c r="H17" s="47" t="str">
        <f t="shared" si="5"/>
        <v/>
      </c>
      <c r="I17" s="48" t="str">
        <f t="shared" si="7"/>
        <v/>
      </c>
      <c r="J17" s="48" t="str">
        <f t="shared" si="1"/>
        <v/>
      </c>
      <c r="K17" s="48" t="str">
        <f t="shared" si="6"/>
        <v/>
      </c>
      <c r="L17" s="48" t="str">
        <f t="shared" si="2"/>
        <v/>
      </c>
      <c r="M17" s="49"/>
      <c r="N17" s="50"/>
      <c r="O17" s="58"/>
      <c r="P17" s="59"/>
    </row>
    <row r="18" spans="2:16" ht="33" customHeight="1" x14ac:dyDescent="0.35">
      <c r="B18" s="30">
        <f>DATE($F$1,$J$1,13)</f>
        <v>46094</v>
      </c>
      <c r="C18" s="46" t="str">
        <f t="shared" si="3"/>
        <v>金</v>
      </c>
      <c r="D18" s="46" t="str">
        <f t="shared" si="4"/>
        <v>◯</v>
      </c>
      <c r="E18" s="31"/>
      <c r="F18" s="31"/>
      <c r="G18" s="31"/>
      <c r="H18" s="47" t="str">
        <f t="shared" si="5"/>
        <v/>
      </c>
      <c r="I18" s="48" t="str">
        <f t="shared" si="7"/>
        <v/>
      </c>
      <c r="J18" s="48" t="str">
        <f t="shared" ref="J18" si="8">IF(OR(I18="", I18=0, I18&lt;0.25), "", MIN(8, I18))</f>
        <v/>
      </c>
      <c r="K18" s="48" t="str">
        <f t="shared" ref="K18" si="9">IFERROR(IF(OR(I18=8,I18=7.75),"",IF(I18&gt;8,I18-8,"")),"")</f>
        <v/>
      </c>
      <c r="L18" s="48" t="str">
        <f t="shared" ref="L18" si="10">IF(D18="◯", J18, IF(D18="", "", ""))</f>
        <v/>
      </c>
      <c r="M18" s="49"/>
      <c r="N18" s="50"/>
      <c r="O18" s="58"/>
      <c r="P18" s="59"/>
    </row>
    <row r="19" spans="2:16" ht="33" customHeight="1" x14ac:dyDescent="0.35">
      <c r="B19" s="30">
        <f>DATE($F$1,$J$1,14)</f>
        <v>46095</v>
      </c>
      <c r="C19" s="46" t="str">
        <f t="shared" si="3"/>
        <v>土</v>
      </c>
      <c r="D19" s="46" t="str">
        <f t="shared" si="4"/>
        <v/>
      </c>
      <c r="E19" s="31"/>
      <c r="F19" s="31"/>
      <c r="G19" s="31"/>
      <c r="H19" s="47" t="str">
        <f t="shared" si="5"/>
        <v/>
      </c>
      <c r="I19" s="48" t="str">
        <f t="shared" si="7"/>
        <v/>
      </c>
      <c r="J19" s="48" t="str">
        <f t="shared" si="1"/>
        <v/>
      </c>
      <c r="K19" s="48" t="str">
        <f t="shared" si="6"/>
        <v/>
      </c>
      <c r="L19" s="48" t="str">
        <f t="shared" si="2"/>
        <v/>
      </c>
      <c r="M19" s="49"/>
      <c r="N19" s="50"/>
      <c r="O19" s="58"/>
      <c r="P19" s="59"/>
    </row>
    <row r="20" spans="2:16" ht="33" customHeight="1" x14ac:dyDescent="0.35">
      <c r="B20" s="30">
        <f>DATE($F$1,$J$1,15)</f>
        <v>46096</v>
      </c>
      <c r="C20" s="46" t="str">
        <f t="shared" si="3"/>
        <v>日</v>
      </c>
      <c r="D20" s="46" t="str">
        <f t="shared" si="4"/>
        <v/>
      </c>
      <c r="E20" s="31"/>
      <c r="F20" s="31"/>
      <c r="G20" s="31"/>
      <c r="H20" s="47" t="str">
        <f t="shared" si="5"/>
        <v/>
      </c>
      <c r="I20" s="48" t="str">
        <f t="shared" si="7"/>
        <v/>
      </c>
      <c r="J20" s="48" t="str">
        <f t="shared" si="1"/>
        <v/>
      </c>
      <c r="K20" s="48" t="str">
        <f t="shared" si="6"/>
        <v/>
      </c>
      <c r="L20" s="48" t="str">
        <f t="shared" si="2"/>
        <v/>
      </c>
      <c r="M20" s="49"/>
      <c r="N20" s="50"/>
      <c r="O20" s="58"/>
      <c r="P20" s="59"/>
    </row>
    <row r="21" spans="2:16" ht="33" customHeight="1" x14ac:dyDescent="0.35">
      <c r="B21" s="30">
        <f>DATE($F$1,$J$1,16)</f>
        <v>46097</v>
      </c>
      <c r="C21" s="46" t="str">
        <f t="shared" si="3"/>
        <v>月</v>
      </c>
      <c r="D21" s="46" t="str">
        <f t="shared" si="4"/>
        <v/>
      </c>
      <c r="E21" s="31"/>
      <c r="F21" s="31"/>
      <c r="G21" s="31"/>
      <c r="H21" s="47" t="str">
        <f t="shared" si="5"/>
        <v/>
      </c>
      <c r="I21" s="48" t="str">
        <f t="shared" si="7"/>
        <v/>
      </c>
      <c r="J21" s="48" t="str">
        <f t="shared" si="1"/>
        <v/>
      </c>
      <c r="K21" s="48" t="str">
        <f t="shared" si="6"/>
        <v/>
      </c>
      <c r="L21" s="48" t="str">
        <f t="shared" si="2"/>
        <v/>
      </c>
      <c r="M21" s="49"/>
      <c r="N21" s="50"/>
      <c r="O21" s="58"/>
      <c r="P21" s="59"/>
    </row>
    <row r="22" spans="2:16" ht="33" customHeight="1" x14ac:dyDescent="0.35">
      <c r="B22" s="30">
        <f>DATE($F$1,$J$1,17)</f>
        <v>46098</v>
      </c>
      <c r="C22" s="46" t="str">
        <f t="shared" si="3"/>
        <v>火</v>
      </c>
      <c r="D22" s="46" t="str">
        <f t="shared" si="4"/>
        <v/>
      </c>
      <c r="E22" s="31"/>
      <c r="F22" s="31"/>
      <c r="G22" s="31"/>
      <c r="H22" s="47" t="str">
        <f t="shared" si="5"/>
        <v/>
      </c>
      <c r="I22" s="48" t="str">
        <f t="shared" si="7"/>
        <v/>
      </c>
      <c r="J22" s="48" t="str">
        <f t="shared" si="1"/>
        <v/>
      </c>
      <c r="K22" s="48" t="str">
        <f t="shared" si="6"/>
        <v/>
      </c>
      <c r="L22" s="48" t="str">
        <f t="shared" si="2"/>
        <v/>
      </c>
      <c r="M22" s="49"/>
      <c r="N22" s="50"/>
      <c r="O22" s="58"/>
      <c r="P22" s="59"/>
    </row>
    <row r="23" spans="2:16" ht="33" customHeight="1" x14ac:dyDescent="0.35">
      <c r="B23" s="30">
        <f>DATE($F$1,$J$1,18)</f>
        <v>46099</v>
      </c>
      <c r="C23" s="46" t="str">
        <f t="shared" si="3"/>
        <v>水</v>
      </c>
      <c r="D23" s="46" t="str">
        <f t="shared" si="4"/>
        <v/>
      </c>
      <c r="E23" s="31"/>
      <c r="F23" s="31"/>
      <c r="G23" s="31"/>
      <c r="H23" s="47" t="str">
        <f t="shared" si="5"/>
        <v/>
      </c>
      <c r="I23" s="48" t="str">
        <f t="shared" si="7"/>
        <v/>
      </c>
      <c r="J23" s="48" t="str">
        <f t="shared" si="1"/>
        <v/>
      </c>
      <c r="K23" s="48" t="str">
        <f t="shared" si="6"/>
        <v/>
      </c>
      <c r="L23" s="48" t="str">
        <f t="shared" si="2"/>
        <v/>
      </c>
      <c r="M23" s="49"/>
      <c r="N23" s="50"/>
      <c r="O23" s="58"/>
      <c r="P23" s="59"/>
    </row>
    <row r="24" spans="2:16" ht="33" customHeight="1" x14ac:dyDescent="0.35">
      <c r="B24" s="30">
        <f>DATE($F$1,$J$1,19)</f>
        <v>46100</v>
      </c>
      <c r="C24" s="46" t="str">
        <f t="shared" si="3"/>
        <v>木</v>
      </c>
      <c r="D24" s="46" t="str">
        <f t="shared" si="4"/>
        <v/>
      </c>
      <c r="E24" s="31"/>
      <c r="F24" s="31"/>
      <c r="G24" s="31"/>
      <c r="H24" s="47" t="str">
        <f t="shared" si="5"/>
        <v/>
      </c>
      <c r="I24" s="48" t="str">
        <f t="shared" si="7"/>
        <v/>
      </c>
      <c r="J24" s="48" t="str">
        <f t="shared" si="1"/>
        <v/>
      </c>
      <c r="K24" s="48" t="str">
        <f t="shared" si="6"/>
        <v/>
      </c>
      <c r="L24" s="48" t="str">
        <f t="shared" si="2"/>
        <v/>
      </c>
      <c r="M24" s="49"/>
      <c r="N24" s="50"/>
      <c r="O24" s="58"/>
      <c r="P24" s="59"/>
    </row>
    <row r="25" spans="2:16" ht="33" customHeight="1" x14ac:dyDescent="0.35">
      <c r="B25" s="30">
        <f>DATE($F$1,$J$1,20)</f>
        <v>46101</v>
      </c>
      <c r="C25" s="46" t="str">
        <f t="shared" si="3"/>
        <v>金</v>
      </c>
      <c r="D25" s="46" t="str">
        <f t="shared" si="4"/>
        <v>◯</v>
      </c>
      <c r="E25" s="31"/>
      <c r="F25" s="31"/>
      <c r="G25" s="31"/>
      <c r="H25" s="47" t="str">
        <f t="shared" si="5"/>
        <v/>
      </c>
      <c r="I25" s="48" t="str">
        <f t="shared" si="7"/>
        <v/>
      </c>
      <c r="J25" s="48" t="str">
        <f t="shared" si="1"/>
        <v/>
      </c>
      <c r="K25" s="48" t="str">
        <f t="shared" si="6"/>
        <v/>
      </c>
      <c r="L25" s="48" t="str">
        <f t="shared" si="2"/>
        <v/>
      </c>
      <c r="M25" s="49"/>
      <c r="N25" s="50"/>
      <c r="O25" s="58"/>
      <c r="P25" s="59"/>
    </row>
    <row r="26" spans="2:16" ht="33" customHeight="1" x14ac:dyDescent="0.35">
      <c r="B26" s="30">
        <f>DATE($F$1,$J$1,21)</f>
        <v>46102</v>
      </c>
      <c r="C26" s="46" t="str">
        <f t="shared" si="3"/>
        <v>土</v>
      </c>
      <c r="D26" s="46" t="str">
        <f t="shared" si="4"/>
        <v/>
      </c>
      <c r="E26" s="31"/>
      <c r="F26" s="31"/>
      <c r="G26" s="31"/>
      <c r="H26" s="47" t="str">
        <f t="shared" si="5"/>
        <v/>
      </c>
      <c r="I26" s="48" t="str">
        <f t="shared" si="7"/>
        <v/>
      </c>
      <c r="J26" s="48" t="str">
        <f t="shared" si="1"/>
        <v/>
      </c>
      <c r="K26" s="48" t="str">
        <f t="shared" si="6"/>
        <v/>
      </c>
      <c r="L26" s="48" t="str">
        <f t="shared" si="2"/>
        <v/>
      </c>
      <c r="M26" s="49"/>
      <c r="N26" s="50"/>
      <c r="O26" s="58"/>
      <c r="P26" s="59"/>
    </row>
    <row r="27" spans="2:16" ht="33" customHeight="1" x14ac:dyDescent="0.35">
      <c r="B27" s="30">
        <f>DATE($F$1,$J$1,22)</f>
        <v>46103</v>
      </c>
      <c r="C27" s="46" t="str">
        <f t="shared" si="3"/>
        <v>日</v>
      </c>
      <c r="D27" s="46" t="str">
        <f t="shared" si="4"/>
        <v/>
      </c>
      <c r="E27" s="31"/>
      <c r="F27" s="31"/>
      <c r="G27" s="31"/>
      <c r="H27" s="47" t="str">
        <f t="shared" si="5"/>
        <v/>
      </c>
      <c r="I27" s="48" t="str">
        <f t="shared" si="7"/>
        <v/>
      </c>
      <c r="J27" s="48" t="str">
        <f t="shared" si="1"/>
        <v/>
      </c>
      <c r="K27" s="48" t="str">
        <f t="shared" si="6"/>
        <v/>
      </c>
      <c r="L27" s="48" t="str">
        <f t="shared" si="2"/>
        <v/>
      </c>
      <c r="M27" s="49"/>
      <c r="N27" s="50"/>
      <c r="O27" s="58"/>
      <c r="P27" s="59"/>
    </row>
    <row r="28" spans="2:16" ht="33" customHeight="1" x14ac:dyDescent="0.35">
      <c r="B28" s="30">
        <f>DATE($F$1,$J$1,23)</f>
        <v>46104</v>
      </c>
      <c r="C28" s="46" t="str">
        <f t="shared" si="3"/>
        <v>月</v>
      </c>
      <c r="D28" s="46" t="str">
        <f t="shared" si="4"/>
        <v/>
      </c>
      <c r="E28" s="31"/>
      <c r="F28" s="31"/>
      <c r="G28" s="31"/>
      <c r="H28" s="47" t="str">
        <f t="shared" si="5"/>
        <v/>
      </c>
      <c r="I28" s="48" t="str">
        <f t="shared" si="7"/>
        <v/>
      </c>
      <c r="J28" s="48" t="str">
        <f t="shared" si="1"/>
        <v/>
      </c>
      <c r="K28" s="48" t="str">
        <f t="shared" si="6"/>
        <v/>
      </c>
      <c r="L28" s="48" t="str">
        <f t="shared" si="2"/>
        <v/>
      </c>
      <c r="M28" s="49"/>
      <c r="N28" s="50"/>
      <c r="O28" s="58"/>
      <c r="P28" s="59"/>
    </row>
    <row r="29" spans="2:16" ht="33" customHeight="1" x14ac:dyDescent="0.35">
      <c r="B29" s="30">
        <f>DATE($F$1,$J$1,24)</f>
        <v>46105</v>
      </c>
      <c r="C29" s="46" t="str">
        <f t="shared" si="3"/>
        <v>火</v>
      </c>
      <c r="D29" s="46" t="str">
        <f t="shared" si="4"/>
        <v/>
      </c>
      <c r="E29" s="31"/>
      <c r="F29" s="31"/>
      <c r="G29" s="31"/>
      <c r="H29" s="47" t="str">
        <f t="shared" si="5"/>
        <v/>
      </c>
      <c r="I29" s="48" t="str">
        <f t="shared" si="7"/>
        <v/>
      </c>
      <c r="J29" s="48" t="str">
        <f t="shared" si="1"/>
        <v/>
      </c>
      <c r="K29" s="48" t="str">
        <f t="shared" si="6"/>
        <v/>
      </c>
      <c r="L29" s="48" t="str">
        <f t="shared" si="2"/>
        <v/>
      </c>
      <c r="M29" s="49"/>
      <c r="N29" s="50"/>
      <c r="O29" s="58"/>
      <c r="P29" s="59"/>
    </row>
    <row r="30" spans="2:16" ht="33" customHeight="1" x14ac:dyDescent="0.35">
      <c r="B30" s="30">
        <f>DATE($F$1,$J$1,25)</f>
        <v>46106</v>
      </c>
      <c r="C30" s="46" t="str">
        <f t="shared" si="3"/>
        <v>水</v>
      </c>
      <c r="D30" s="46" t="str">
        <f t="shared" si="4"/>
        <v/>
      </c>
      <c r="E30" s="31"/>
      <c r="F30" s="31"/>
      <c r="G30" s="31"/>
      <c r="H30" s="47" t="str">
        <f t="shared" si="5"/>
        <v/>
      </c>
      <c r="I30" s="48" t="str">
        <f t="shared" si="7"/>
        <v/>
      </c>
      <c r="J30" s="48" t="str">
        <f t="shared" si="1"/>
        <v/>
      </c>
      <c r="K30" s="48" t="str">
        <f t="shared" si="6"/>
        <v/>
      </c>
      <c r="L30" s="48" t="str">
        <f t="shared" si="2"/>
        <v/>
      </c>
      <c r="M30" s="49"/>
      <c r="N30" s="50"/>
      <c r="O30" s="58"/>
      <c r="P30" s="59"/>
    </row>
    <row r="31" spans="2:16" ht="33" customHeight="1" x14ac:dyDescent="0.35">
      <c r="B31" s="30">
        <f>DATE($F$1,$J$1,26)</f>
        <v>46107</v>
      </c>
      <c r="C31" s="46" t="str">
        <f t="shared" si="3"/>
        <v>木</v>
      </c>
      <c r="D31" s="46" t="str">
        <f t="shared" si="4"/>
        <v/>
      </c>
      <c r="E31" s="31"/>
      <c r="F31" s="31"/>
      <c r="G31" s="31"/>
      <c r="H31" s="47" t="str">
        <f t="shared" si="5"/>
        <v/>
      </c>
      <c r="I31" s="48" t="str">
        <f t="shared" si="7"/>
        <v/>
      </c>
      <c r="J31" s="48" t="str">
        <f t="shared" si="1"/>
        <v/>
      </c>
      <c r="K31" s="48" t="str">
        <f t="shared" si="6"/>
        <v/>
      </c>
      <c r="L31" s="48" t="str">
        <f t="shared" si="2"/>
        <v/>
      </c>
      <c r="M31" s="49"/>
      <c r="N31" s="50"/>
      <c r="O31" s="58"/>
      <c r="P31" s="59"/>
    </row>
    <row r="32" spans="2:16" ht="33" customHeight="1" x14ac:dyDescent="0.35">
      <c r="B32" s="30">
        <f>DATE($F$1,$J$1,27)</f>
        <v>46108</v>
      </c>
      <c r="C32" s="46" t="str">
        <f t="shared" si="3"/>
        <v>金</v>
      </c>
      <c r="D32" s="46" t="str">
        <f t="shared" si="4"/>
        <v>◯</v>
      </c>
      <c r="E32" s="31"/>
      <c r="F32" s="31"/>
      <c r="G32" s="31"/>
      <c r="H32" s="47" t="str">
        <f t="shared" si="5"/>
        <v/>
      </c>
      <c r="I32" s="48" t="str">
        <f t="shared" si="7"/>
        <v/>
      </c>
      <c r="J32" s="48" t="str">
        <f t="shared" si="1"/>
        <v/>
      </c>
      <c r="K32" s="48" t="str">
        <f t="shared" si="6"/>
        <v/>
      </c>
      <c r="L32" s="48" t="str">
        <f t="shared" si="2"/>
        <v/>
      </c>
      <c r="M32" s="49"/>
      <c r="N32" s="50"/>
      <c r="O32" s="58"/>
      <c r="P32" s="59"/>
    </row>
    <row r="33" spans="2:18" ht="33" customHeight="1" x14ac:dyDescent="0.35">
      <c r="B33" s="30">
        <f>DATE($F$1,$J$1,28)</f>
        <v>46109</v>
      </c>
      <c r="C33" s="46" t="str">
        <f t="shared" si="3"/>
        <v>土</v>
      </c>
      <c r="D33" s="46" t="str">
        <f t="shared" si="4"/>
        <v/>
      </c>
      <c r="E33" s="31"/>
      <c r="F33" s="31"/>
      <c r="G33" s="31"/>
      <c r="H33" s="47" t="str">
        <f t="shared" si="5"/>
        <v/>
      </c>
      <c r="I33" s="48" t="str">
        <f t="shared" si="7"/>
        <v/>
      </c>
      <c r="J33" s="48" t="str">
        <f t="shared" si="1"/>
        <v/>
      </c>
      <c r="K33" s="48" t="str">
        <f t="shared" si="6"/>
        <v/>
      </c>
      <c r="L33" s="48" t="str">
        <f t="shared" si="2"/>
        <v/>
      </c>
      <c r="M33" s="49"/>
      <c r="N33" s="50"/>
      <c r="O33" s="58"/>
      <c r="P33" s="59"/>
    </row>
    <row r="34" spans="2:18" ht="33" customHeight="1" x14ac:dyDescent="0.35">
      <c r="B34" s="30">
        <f>DATE($F$1,$J$1,29)</f>
        <v>46110</v>
      </c>
      <c r="C34" s="46" t="str">
        <f t="shared" si="3"/>
        <v>日</v>
      </c>
      <c r="D34" s="46" t="str">
        <f t="shared" si="4"/>
        <v/>
      </c>
      <c r="E34" s="31"/>
      <c r="F34" s="31"/>
      <c r="G34" s="31"/>
      <c r="H34" s="47" t="str">
        <f t="shared" si="5"/>
        <v/>
      </c>
      <c r="I34" s="48" t="str">
        <f t="shared" si="7"/>
        <v/>
      </c>
      <c r="J34" s="48" t="str">
        <f t="shared" si="1"/>
        <v/>
      </c>
      <c r="K34" s="48" t="str">
        <f t="shared" si="6"/>
        <v/>
      </c>
      <c r="L34" s="48" t="str">
        <f t="shared" si="2"/>
        <v/>
      </c>
      <c r="M34" s="49"/>
      <c r="N34" s="50"/>
      <c r="O34" s="58"/>
      <c r="P34" s="59"/>
    </row>
    <row r="35" spans="2:18" ht="33" customHeight="1" x14ac:dyDescent="0.35">
      <c r="B35" s="30">
        <f>DATE($F$1,$J$1,30)</f>
        <v>46111</v>
      </c>
      <c r="C35" s="46" t="str">
        <f t="shared" si="3"/>
        <v>月</v>
      </c>
      <c r="D35" s="46" t="str">
        <f t="shared" si="4"/>
        <v/>
      </c>
      <c r="E35" s="31"/>
      <c r="F35" s="31"/>
      <c r="G35" s="31"/>
      <c r="H35" s="47" t="str">
        <f t="shared" si="5"/>
        <v/>
      </c>
      <c r="I35" s="48" t="str">
        <f t="shared" si="7"/>
        <v/>
      </c>
      <c r="J35" s="48" t="str">
        <f t="shared" si="1"/>
        <v/>
      </c>
      <c r="K35" s="48" t="str">
        <f t="shared" si="6"/>
        <v/>
      </c>
      <c r="L35" s="48" t="str">
        <f t="shared" si="2"/>
        <v/>
      </c>
      <c r="M35" s="49"/>
      <c r="N35" s="50"/>
      <c r="O35" s="58"/>
      <c r="P35" s="59"/>
    </row>
    <row r="36" spans="2:18" ht="33" customHeight="1" x14ac:dyDescent="0.35">
      <c r="B36" s="30">
        <f>DATE($F$1,$J$1,31)</f>
        <v>46112</v>
      </c>
      <c r="C36" s="46" t="str">
        <f t="shared" si="3"/>
        <v>火</v>
      </c>
      <c r="D36" s="46" t="str">
        <f t="shared" si="4"/>
        <v/>
      </c>
      <c r="E36" s="31"/>
      <c r="F36" s="31"/>
      <c r="G36" s="31"/>
      <c r="H36" s="47" t="str">
        <f t="shared" si="5"/>
        <v/>
      </c>
      <c r="I36" s="48" t="str">
        <f t="shared" si="7"/>
        <v/>
      </c>
      <c r="J36" s="48" t="str">
        <f t="shared" si="1"/>
        <v/>
      </c>
      <c r="K36" s="48" t="str">
        <f t="shared" si="6"/>
        <v/>
      </c>
      <c r="L36" s="48" t="str">
        <f t="shared" si="2"/>
        <v/>
      </c>
      <c r="M36" s="49"/>
      <c r="N36" s="50"/>
      <c r="O36" s="58"/>
      <c r="P36" s="59"/>
    </row>
    <row r="37" spans="2:18" x14ac:dyDescent="0.35">
      <c r="J37" s="27"/>
      <c r="K37" s="27"/>
      <c r="L37" s="27"/>
      <c r="M37" s="27">
        <f t="shared" ref="M37" si="11">SUM(M6:M36)</f>
        <v>0</v>
      </c>
    </row>
    <row r="38" spans="2:18" ht="20.149999999999999" customHeight="1" x14ac:dyDescent="0.35">
      <c r="B38" s="60" t="s">
        <v>15</v>
      </c>
      <c r="C38" s="63" t="s">
        <v>32</v>
      </c>
      <c r="D38" s="63"/>
      <c r="E38" s="56">
        <f>J44</f>
        <v>0</v>
      </c>
      <c r="F38" s="19" t="s">
        <v>22</v>
      </c>
      <c r="G38" s="42">
        <v>1250</v>
      </c>
      <c r="H38" s="20"/>
      <c r="I38" s="21"/>
      <c r="J38" s="22" t="s">
        <v>20</v>
      </c>
      <c r="K38" s="23" t="s">
        <v>21</v>
      </c>
      <c r="L38" s="54">
        <f>ROUNDDOWN(E38*G38,0)</f>
        <v>0</v>
      </c>
      <c r="M38" s="20"/>
      <c r="N38" s="34" t="s">
        <v>20</v>
      </c>
      <c r="O38" s="64" t="s">
        <v>33</v>
      </c>
      <c r="P38" s="65"/>
      <c r="Q38" s="57">
        <f>E38*G38</f>
        <v>0</v>
      </c>
      <c r="R38" s="53">
        <f>Q38-L38</f>
        <v>0</v>
      </c>
    </row>
    <row r="39" spans="2:18" ht="20.149999999999999" customHeight="1" x14ac:dyDescent="0.35">
      <c r="B39" s="61"/>
      <c r="C39" s="63" t="s">
        <v>16</v>
      </c>
      <c r="D39" s="63"/>
      <c r="E39" s="32">
        <f>SUM(K6:K36)</f>
        <v>0</v>
      </c>
      <c r="F39" s="19" t="s">
        <v>22</v>
      </c>
      <c r="G39" s="42">
        <v>1250</v>
      </c>
      <c r="H39" s="20"/>
      <c r="I39" s="21"/>
      <c r="J39" s="22" t="s">
        <v>36</v>
      </c>
      <c r="K39" s="23" t="s">
        <v>21</v>
      </c>
      <c r="L39" s="51">
        <f>ROUNDDOWN(E39*G39*1.25,0)</f>
        <v>0</v>
      </c>
      <c r="M39" s="20"/>
      <c r="N39" s="34" t="s">
        <v>20</v>
      </c>
      <c r="O39" s="80">
        <f>L38+L39+L40+L41</f>
        <v>0</v>
      </c>
      <c r="P39" s="66" t="s">
        <v>20</v>
      </c>
      <c r="Q39" s="57">
        <f>E39*G39*1.25</f>
        <v>0</v>
      </c>
      <c r="R39" s="53">
        <f t="shared" ref="R39:R41" si="12">Q39-L39</f>
        <v>0</v>
      </c>
    </row>
    <row r="40" spans="2:18" ht="20.149999999999999" customHeight="1" x14ac:dyDescent="0.35">
      <c r="B40" s="61"/>
      <c r="C40" s="63" t="s">
        <v>17</v>
      </c>
      <c r="D40" s="63"/>
      <c r="E40" s="32">
        <f>SUM(L6:L36)</f>
        <v>0</v>
      </c>
      <c r="F40" s="19" t="s">
        <v>22</v>
      </c>
      <c r="G40" s="42">
        <v>1250</v>
      </c>
      <c r="H40" s="20"/>
      <c r="I40" s="21"/>
      <c r="J40" s="22" t="s">
        <v>37</v>
      </c>
      <c r="K40" s="23" t="s">
        <v>21</v>
      </c>
      <c r="L40" s="51">
        <f>ROUNDDOWN(E40*G40*1.35,0)</f>
        <v>0</v>
      </c>
      <c r="M40" s="20"/>
      <c r="N40" s="34" t="s">
        <v>20</v>
      </c>
      <c r="O40" s="81"/>
      <c r="P40" s="67"/>
      <c r="Q40" s="57">
        <f>E40*G40*1.35</f>
        <v>0</v>
      </c>
      <c r="R40" s="53">
        <f t="shared" si="12"/>
        <v>0</v>
      </c>
    </row>
    <row r="41" spans="2:18" ht="20.149999999999999" customHeight="1" x14ac:dyDescent="0.35">
      <c r="B41" s="61"/>
      <c r="C41" s="63" t="s">
        <v>18</v>
      </c>
      <c r="D41" s="63"/>
      <c r="E41" s="33"/>
      <c r="F41" s="19" t="s">
        <v>22</v>
      </c>
      <c r="G41" s="42">
        <v>1250</v>
      </c>
      <c r="H41" s="20"/>
      <c r="I41" s="21"/>
      <c r="J41" s="22" t="s">
        <v>36</v>
      </c>
      <c r="K41" s="23" t="s">
        <v>21</v>
      </c>
      <c r="L41" s="51">
        <f>ROUNDDOWN(E41*G41*1.25,0)</f>
        <v>0</v>
      </c>
      <c r="M41" s="20"/>
      <c r="N41" s="29" t="s">
        <v>20</v>
      </c>
      <c r="O41" s="82"/>
      <c r="P41" s="68"/>
      <c r="Q41" s="57">
        <f>E41*G41*1.25</f>
        <v>0</v>
      </c>
      <c r="R41" s="53">
        <f t="shared" si="12"/>
        <v>0</v>
      </c>
    </row>
    <row r="42" spans="2:18" ht="20.149999999999999" customHeight="1" x14ac:dyDescent="0.35">
      <c r="B42" s="62"/>
      <c r="C42" s="63" t="s">
        <v>19</v>
      </c>
      <c r="D42" s="63"/>
      <c r="E42" s="25"/>
      <c r="F42" s="26"/>
      <c r="G42" s="26"/>
      <c r="H42" s="26"/>
      <c r="I42" s="26"/>
      <c r="J42" s="26"/>
      <c r="K42" s="26"/>
      <c r="L42" s="43">
        <f>SUM($N$6:$N$36)</f>
        <v>0</v>
      </c>
      <c r="M42" s="20"/>
      <c r="N42" s="29" t="s">
        <v>20</v>
      </c>
      <c r="O42" s="44">
        <f>O39+L42</f>
        <v>0</v>
      </c>
      <c r="P42" s="24" t="s">
        <v>20</v>
      </c>
      <c r="Q42" s="53"/>
      <c r="R42" s="53"/>
    </row>
    <row r="43" spans="2:18" ht="16.5" thickBot="1" x14ac:dyDescent="0.4">
      <c r="L43" s="43">
        <f>E40*G40*1.35</f>
        <v>0</v>
      </c>
      <c r="N43" s="52">
        <f>SUM(N6:N36)</f>
        <v>0</v>
      </c>
    </row>
    <row r="44" spans="2:18" ht="20.149999999999999" customHeight="1" thickBot="1" x14ac:dyDescent="0.4">
      <c r="J44" s="27">
        <f>SUM($J$6:$J$36)</f>
        <v>0</v>
      </c>
      <c r="K44" s="27">
        <f>SUM($K$6:$K$36)</f>
        <v>0</v>
      </c>
      <c r="L44" s="27">
        <f>SUM($L$6:$L$36)</f>
        <v>0</v>
      </c>
      <c r="M44" s="6" t="s">
        <v>15</v>
      </c>
    </row>
    <row r="46" spans="2:18" x14ac:dyDescent="0.35">
      <c r="B46" s="13" t="s">
        <v>24</v>
      </c>
    </row>
    <row r="47" spans="2:18" x14ac:dyDescent="0.35">
      <c r="B47" s="5" t="s">
        <v>25</v>
      </c>
      <c r="M47" s="7"/>
    </row>
    <row r="48" spans="2:18" x14ac:dyDescent="0.35">
      <c r="B48" s="5" t="s">
        <v>39</v>
      </c>
    </row>
    <row r="49" spans="2:7" x14ac:dyDescent="0.35">
      <c r="B49" s="5" t="s">
        <v>27</v>
      </c>
    </row>
    <row r="50" spans="2:7" x14ac:dyDescent="0.35">
      <c r="B50" s="13" t="s">
        <v>26</v>
      </c>
      <c r="G50" s="8"/>
    </row>
  </sheetData>
  <sheetProtection formatCells="0"/>
  <mergeCells count="48">
    <mergeCell ref="O11:P11"/>
    <mergeCell ref="L2:P2"/>
    <mergeCell ref="N3:P3"/>
    <mergeCell ref="B4:B5"/>
    <mergeCell ref="C4:C5"/>
    <mergeCell ref="D4:D5"/>
    <mergeCell ref="K4:L4"/>
    <mergeCell ref="M4:N4"/>
    <mergeCell ref="O4:P5"/>
    <mergeCell ref="O6:P6"/>
    <mergeCell ref="O7:P7"/>
    <mergeCell ref="O8:P8"/>
    <mergeCell ref="O9:P9"/>
    <mergeCell ref="O10:P10"/>
    <mergeCell ref="O23:P23"/>
    <mergeCell ref="O12:P12"/>
    <mergeCell ref="O13:P13"/>
    <mergeCell ref="O14:P14"/>
    <mergeCell ref="O15:P15"/>
    <mergeCell ref="O16:P16"/>
    <mergeCell ref="O17:P17"/>
    <mergeCell ref="O18:P18"/>
    <mergeCell ref="O19:P19"/>
    <mergeCell ref="O20:P20"/>
    <mergeCell ref="O21:P21"/>
    <mergeCell ref="O22:P22"/>
    <mergeCell ref="O35:P35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33:P33"/>
    <mergeCell ref="O34:P34"/>
    <mergeCell ref="O36:P36"/>
    <mergeCell ref="B38:B42"/>
    <mergeCell ref="C38:D38"/>
    <mergeCell ref="O38:P38"/>
    <mergeCell ref="C39:D39"/>
    <mergeCell ref="O39:O41"/>
    <mergeCell ref="P39:P41"/>
    <mergeCell ref="C40:D40"/>
    <mergeCell ref="C41:D41"/>
    <mergeCell ref="C42:D42"/>
  </mergeCells>
  <phoneticPr fontId="2"/>
  <dataValidations count="1">
    <dataValidation type="list" allowBlank="1" showInputMessage="1" showErrorMessage="1" sqref="M6:M36" xr:uid="{E1690C6D-9C51-41A9-9CD9-37F2167952DB}">
      <formula1>#REF!</formula1>
    </dataValidation>
  </dataValidations>
  <hyperlinks>
    <hyperlink ref="B46" r:id="rId1" xr:uid="{41E9C769-805E-43D7-AA4A-63809FD9550B}"/>
    <hyperlink ref="B50" r:id="rId2" xr:uid="{BD6575FB-6593-4BB4-A17E-1DA3E1086A23}"/>
  </hyperlinks>
  <pageMargins left="0.39370078740157483" right="0.23622047244094491" top="0.59055118110236227" bottom="0.74803149606299213" header="0.31496062992125984" footer="0.31496062992125984"/>
  <pageSetup paperSize="9" scale="62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立石さん20260331</vt:lpstr>
      <vt:lpstr>立石さん20260331!Print_Area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2026-04-01T04:11:37Z</dcterms:modified>
</cp:coreProperties>
</file>